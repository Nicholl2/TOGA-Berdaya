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 Harga TOGA" sheetId="1" state="visible" r:id="rId1"/>
    <sheet xmlns:r="http://schemas.openxmlformats.org/officeDocument/2006/relationships" name="Kalkulator Cost-Plus 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7">
    <font>
      <name val="Calibri"/>
      <family val="2"/>
      <color theme="1"/>
      <sz val="11"/>
      <scheme val="minor"/>
    </font>
    <font>
      <name val="Segoe UI"/>
      <b val="1"/>
      <color rgb="001B4D3E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1B4D3E"/>
      <sz val="11"/>
    </font>
    <font>
      <name val="Segoe U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4F7F5"/>
        <bgColor rgb="00F4F7F5"/>
      </patternFill>
    </fill>
    <fill>
      <patternFill patternType="solid">
        <fgColor rgb="00E8F0EC"/>
        <bgColor rgb="00E8F0EC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4" borderId="0" pivotButton="0" quotePrefix="0" xfId="0"/>
    <xf numFmtId="164" fontId="6" fillId="4" borderId="0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2" fillId="0" borderId="0" pivotButton="0" quotePrefix="0" xfId="0"/>
    <xf numFmtId="9" fontId="4" fillId="0" borderId="0" applyAlignment="1" pivotButton="0" quotePrefix="0" xfId="0">
      <alignment horizontal="right" vertical="center"/>
    </xf>
    <xf numFmtId="0" fontId="6" fillId="5" borderId="0" pivotButton="0" quotePrefix="0" xfId="0"/>
    <xf numFmtId="164" fontId="6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8" customWidth="1" min="4" max="4"/>
    <col width="38" customWidth="1" min="5" max="5"/>
  </cols>
  <sheetData>
    <row r="1"/>
    <row r="2">
      <c r="A2" s="1" t="inlineStr">
        <is>
          <t>DAFTAR STANDARDISASI HARGA JUAL DIGITAL</t>
        </is>
      </c>
    </row>
    <row r="3">
      <c r="A3" s="2" t="inlineStr">
        <is>
          <t>Platform: Web Katalog TOGA Berdaya - Kelurahan Tingkir Lor</t>
        </is>
      </c>
    </row>
    <row r="4"/>
    <row r="5" ht="25" customHeight="1">
      <c r="A5" s="3" t="inlineStr">
        <is>
          <t>No</t>
        </is>
      </c>
      <c r="B5" s="3" t="inlineStr">
        <is>
          <t>Nama Tanaman Obat</t>
        </is>
      </c>
      <c r="C5" s="3" t="inlineStr">
        <is>
          <t>Nama Latin</t>
        </is>
      </c>
      <c r="D5" s="3" t="inlineStr">
        <is>
          <t>Harga Jual / Polybag (Tanaman Hidup)</t>
        </is>
      </c>
      <c r="E5" s="3" t="inlineStr">
        <is>
          <t>Harga Jual / 100g (Simplisia/Segar)</t>
        </is>
      </c>
    </row>
    <row r="6" ht="20" customHeight="1">
      <c r="A6" s="4" t="n">
        <v>1</v>
      </c>
      <c r="B6" s="5" t="inlineStr">
        <is>
          <t>Jahe Merah</t>
        </is>
      </c>
      <c r="C6" s="5" t="inlineStr">
        <is>
          <t>Zingiber officinale var. rubrum</t>
        </is>
      </c>
      <c r="D6" s="6" t="n">
        <v>15000</v>
      </c>
      <c r="E6" s="6" t="n">
        <v>6000</v>
      </c>
    </row>
    <row r="7" ht="20" customHeight="1">
      <c r="A7" s="7" t="n">
        <v>2</v>
      </c>
      <c r="B7" s="8" t="inlineStr">
        <is>
          <t>Lidah Buaya</t>
        </is>
      </c>
      <c r="C7" s="8" t="inlineStr">
        <is>
          <t>Aloe vera</t>
        </is>
      </c>
      <c r="D7" s="9" t="n">
        <v>12000</v>
      </c>
      <c r="E7" s="9" t="n">
        <v>4000</v>
      </c>
    </row>
    <row r="8" ht="20" customHeight="1">
      <c r="A8" s="4" t="n">
        <v>3</v>
      </c>
      <c r="B8" s="5" t="inlineStr">
        <is>
          <t>Temulawak</t>
        </is>
      </c>
      <c r="C8" s="5" t="inlineStr">
        <is>
          <t>Curma xanthorrhiza</t>
        </is>
      </c>
      <c r="D8" s="6" t="n">
        <v>13000</v>
      </c>
      <c r="E8" s="6" t="n">
        <v>4500</v>
      </c>
    </row>
    <row r="9" ht="20" customHeight="1">
      <c r="A9" s="7" t="n">
        <v>4</v>
      </c>
      <c r="B9" s="8" t="inlineStr">
        <is>
          <t>Kencur</t>
        </is>
      </c>
      <c r="C9" s="8" t="inlineStr">
        <is>
          <t>Kaempferia galanga</t>
        </is>
      </c>
      <c r="D9" s="9" t="n">
        <v>12000</v>
      </c>
      <c r="E9" s="9" t="n">
        <v>5500</v>
      </c>
    </row>
    <row r="10" ht="20" customHeight="1">
      <c r="A10" s="4" t="n">
        <v>5</v>
      </c>
      <c r="B10" s="5" t="inlineStr">
        <is>
          <t>Sambiloto</t>
        </is>
      </c>
      <c r="C10" s="5" t="inlineStr">
        <is>
          <t>Andrographis paniculata</t>
        </is>
      </c>
      <c r="D10" s="6" t="n">
        <v>10000</v>
      </c>
      <c r="E10" s="6" t="n">
        <v>8000</v>
      </c>
    </row>
    <row r="11" ht="20" customHeight="1">
      <c r="A11" s="7" t="n">
        <v>6</v>
      </c>
      <c r="B11" s="8" t="inlineStr">
        <is>
          <t>Kunyit</t>
        </is>
      </c>
      <c r="C11" s="8" t="inlineStr">
        <is>
          <t>Curcuma longa</t>
        </is>
      </c>
      <c r="D11" s="9" t="n">
        <v>10000</v>
      </c>
      <c r="E11" s="9" t="n">
        <v>3500</v>
      </c>
    </row>
    <row r="12" ht="20" customHeight="1">
      <c r="A12" s="4" t="n">
        <v>7</v>
      </c>
      <c r="B12" s="5" t="inlineStr">
        <is>
          <t>Kumis Kucing</t>
        </is>
      </c>
      <c r="C12" s="5" t="inlineStr">
        <is>
          <t>Orthosiphon aristatus</t>
        </is>
      </c>
      <c r="D12" s="6" t="n">
        <v>12000</v>
      </c>
      <c r="E12" s="6" t="n">
        <v>7500</v>
      </c>
    </row>
    <row r="13" ht="20" customHeight="1">
      <c r="A13" s="7" t="n">
        <v>8</v>
      </c>
      <c r="B13" s="8" t="inlineStr">
        <is>
          <t>Sereh</t>
        </is>
      </c>
      <c r="C13" s="8" t="inlineStr">
        <is>
          <t>Cymbopogon nardus</t>
        </is>
      </c>
      <c r="D13" s="9" t="n">
        <v>8000</v>
      </c>
      <c r="E13" s="9" t="n">
        <v>2500</v>
      </c>
    </row>
    <row r="14" ht="20" customHeight="1">
      <c r="A14" s="4" t="n">
        <v>9</v>
      </c>
      <c r="B14" s="5" t="inlineStr">
        <is>
          <t>Daun Sirih</t>
        </is>
      </c>
      <c r="C14" s="5" t="inlineStr">
        <is>
          <t>Piper betle</t>
        </is>
      </c>
      <c r="D14" s="6" t="n">
        <v>15000</v>
      </c>
      <c r="E14" s="6" t="n">
        <v>4000</v>
      </c>
    </row>
    <row r="15" ht="20" customHeight="1">
      <c r="A15" s="7" t="n">
        <v>10</v>
      </c>
      <c r="B15" s="8" t="inlineStr">
        <is>
          <t>Lengkuas</t>
        </is>
      </c>
      <c r="C15" s="8" t="inlineStr">
        <is>
          <t>Alpinia galanga</t>
        </is>
      </c>
      <c r="D15" s="9" t="n">
        <v>10000</v>
      </c>
      <c r="E15" s="9" t="n">
        <v>3000</v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8" customWidth="1" min="3" max="3"/>
    <col width="24" customWidth="1" min="4" max="4"/>
    <col width="18" customWidth="1" min="5" max="5"/>
  </cols>
  <sheetData>
    <row r="1"/>
    <row r="2">
      <c r="A2" s="1" t="inlineStr">
        <is>
          <t>SIMULASI PERHITUNGAN COST-PLUS PRICING DENGAN MARKUP</t>
        </is>
      </c>
    </row>
    <row r="3">
      <c r="A3" s="2" t="inlineStr">
        <is>
          <t>Model Edukasi Pembukuan Struktur Biaya UMKM &amp; Taman TOGA</t>
        </is>
      </c>
    </row>
    <row r="4"/>
    <row r="5">
      <c r="A5" s="10" t="inlineStr">
        <is>
          <t>1. PETA BIAYA VARIABEL (VARIABLE COST) - Per Unit/Polybag</t>
        </is>
      </c>
    </row>
    <row r="6">
      <c r="A6" s="3" t="inlineStr">
        <is>
          <t>No</t>
        </is>
      </c>
      <c r="B6" s="3" t="inlineStr">
        <is>
          <t>Komponen Bahan Habis Pakai</t>
        </is>
      </c>
      <c r="C6" s="3" t="inlineStr">
        <is>
          <t>Jumlah</t>
        </is>
      </c>
      <c r="D6" s="3" t="inlineStr">
        <is>
          <t>Harga Satuan</t>
        </is>
      </c>
      <c r="E6" s="3" t="inlineStr">
        <is>
          <t>Total Biaya</t>
        </is>
      </c>
    </row>
    <row r="7">
      <c r="A7" s="4" t="n">
        <v>1</v>
      </c>
      <c r="B7" s="5" t="inlineStr">
        <is>
          <t>Bibit Jahe Merah Unggul</t>
        </is>
      </c>
      <c r="C7" s="4" t="inlineStr">
        <is>
          <t>1 Tunas</t>
        </is>
      </c>
      <c r="D7" s="6" t="n">
        <v>3000</v>
      </c>
      <c r="E7" s="6" t="n">
        <v>3000</v>
      </c>
    </row>
    <row r="8">
      <c r="A8" s="4" t="n">
        <v>2</v>
      </c>
      <c r="B8" s="5" t="inlineStr">
        <is>
          <t>Media Tanam (Tanah + Kompos)</t>
        </is>
      </c>
      <c r="C8" s="4" t="inlineStr">
        <is>
          <t>1 Paket</t>
        </is>
      </c>
      <c r="D8" s="6" t="n">
        <v>2500</v>
      </c>
      <c r="E8" s="6" t="n">
        <v>2500</v>
      </c>
    </row>
    <row r="9">
      <c r="A9" s="4" t="n">
        <v>3</v>
      </c>
      <c r="B9" s="5" t="inlineStr">
        <is>
          <t>Polybag Ukuran 30x30</t>
        </is>
      </c>
      <c r="C9" s="4" t="inlineStr">
        <is>
          <t>1 Pcs</t>
        </is>
      </c>
      <c r="D9" s="6" t="n">
        <v>1000</v>
      </c>
      <c r="E9" s="6" t="n">
        <v>1000</v>
      </c>
    </row>
    <row r="10">
      <c r="A10" s="4" t="n">
        <v>4</v>
      </c>
      <c r="B10" s="5" t="inlineStr">
        <is>
          <t>Pupuk Cair Organik (Bahan Baku)</t>
        </is>
      </c>
      <c r="C10" s="4" t="inlineStr">
        <is>
          <t>1 Dosis</t>
        </is>
      </c>
      <c r="D10" s="6" t="n">
        <v>1500</v>
      </c>
      <c r="E10" s="6" t="n">
        <v>1500</v>
      </c>
    </row>
    <row r="11">
      <c r="A11" s="4" t="n">
        <v>5</v>
      </c>
      <c r="B11" s="5" t="inlineStr">
        <is>
          <t>Stiker Label Identitas Web</t>
        </is>
      </c>
      <c r="C11" s="4" t="inlineStr">
        <is>
          <t>1 Lembar</t>
        </is>
      </c>
      <c r="D11" s="6" t="n">
        <v>1000</v>
      </c>
      <c r="E11" s="6" t="n">
        <v>1000</v>
      </c>
    </row>
    <row r="12">
      <c r="B12" s="11" t="inlineStr">
        <is>
          <t>TOTAL BIAYA VARIABEL PER UNIT (A)</t>
        </is>
      </c>
      <c r="E12" s="12">
        <f>SUM(E7:E11)</f>
        <v/>
      </c>
    </row>
    <row r="13"/>
    <row r="14">
      <c r="A14" s="10" t="inlineStr">
        <is>
          <t>2. ALOKASI BIAYA TETAP (FIXED COST) - Penyusutan Alat</t>
        </is>
      </c>
    </row>
    <row r="15">
      <c r="A15" s="3" t="inlineStr">
        <is>
          <t>No</t>
        </is>
      </c>
      <c r="B15" s="3" t="inlineStr">
        <is>
          <t>Nama Alat Pendukung</t>
        </is>
      </c>
      <c r="C15" s="3" t="inlineStr">
        <is>
          <t>Harga Perolehan</t>
        </is>
      </c>
      <c r="D15" s="3" t="inlineStr">
        <is>
          <t>Estimasi Kapasitas Pakai</t>
        </is>
      </c>
      <c r="E15" s="3" t="inlineStr">
        <is>
          <t>Alokasi Per Unit</t>
        </is>
      </c>
    </row>
    <row r="16">
      <c r="A16" s="4" t="n">
        <v>1</v>
      </c>
      <c r="B16" s="5" t="inlineStr">
        <is>
          <t>Ember &amp; Selang Fermentasi</t>
        </is>
      </c>
      <c r="C16" s="6" t="n">
        <v>60000</v>
      </c>
      <c r="D16" s="4" t="n">
        <v>300</v>
      </c>
      <c r="E16" s="6">
        <f>C16/D16</f>
        <v/>
      </c>
    </row>
    <row r="17">
      <c r="A17" s="4" t="n">
        <v>2</v>
      </c>
      <c r="B17" s="5" t="inlineStr">
        <is>
          <t>Sekop &amp; Garpu Tanah</t>
        </is>
      </c>
      <c r="C17" s="6" t="n">
        <v>45000</v>
      </c>
      <c r="D17" s="4" t="n">
        <v>300</v>
      </c>
      <c r="E17" s="6">
        <f>C17/D17</f>
        <v/>
      </c>
    </row>
    <row r="18">
      <c r="A18" s="4" t="n">
        <v>3</v>
      </c>
      <c r="B18" s="5" t="inlineStr">
        <is>
          <t>Rak Display Bambu</t>
        </is>
      </c>
      <c r="C18" s="6" t="n">
        <v>100000</v>
      </c>
      <c r="D18" s="4" t="n">
        <v>500</v>
      </c>
      <c r="E18" s="6">
        <f>C18/D18</f>
        <v/>
      </c>
    </row>
    <row r="19">
      <c r="B19" s="11" t="inlineStr">
        <is>
          <t>TOTAL ALOKASI BIAYA TETAP PER UNIT (B)</t>
        </is>
      </c>
      <c r="E19" s="12">
        <f>SUM(E16:E18)</f>
        <v/>
      </c>
    </row>
    <row r="20"/>
    <row r="21">
      <c r="A21" s="10" t="inlineStr">
        <is>
          <t>3. FORMULASI PENETAPAN HARGA JUAL FINAL</t>
        </is>
      </c>
    </row>
    <row r="22">
      <c r="A22" s="13" t="inlineStr">
        <is>
          <t>Harga Pokok Produksi (HPP) per Unit</t>
        </is>
      </c>
      <c r="B22" s="14">
        <f>E12+E19</f>
        <v/>
      </c>
      <c r="C22" s="15" t="inlineStr">
        <is>
          <t>VC + FC</t>
        </is>
      </c>
    </row>
    <row r="23">
      <c r="A23" s="13" t="inlineStr">
        <is>
          <t>Persentase Markup Keuntungan</t>
        </is>
      </c>
      <c r="B23" s="16" t="n">
        <v>0.4</v>
      </c>
      <c r="C23" s="15" t="inlineStr">
        <is>
          <t>40% Target Laba Kas Desa</t>
        </is>
      </c>
    </row>
    <row r="24">
      <c r="A24" s="13" t="inlineStr">
        <is>
          <t>Nilai Margin Keuntungan</t>
        </is>
      </c>
      <c r="B24" s="14">
        <f>B22*B23</f>
        <v/>
      </c>
      <c r="C24" s="15" t="inlineStr">
        <is>
          <t>HPP x Markup %</t>
        </is>
      </c>
    </row>
    <row r="25">
      <c r="A25" s="13" t="inlineStr">
        <is>
          <t>Harga Jual Final (Rekomendasi Web)</t>
        </is>
      </c>
      <c r="B25" s="14">
        <f>B22+B24</f>
        <v/>
      </c>
      <c r="C25" s="15" t="inlineStr">
        <is>
          <t>HPP + Margin Laba</t>
        </is>
      </c>
    </row>
    <row r="26">
      <c r="A26" s="17" t="inlineStr">
        <is>
          <t>Pembulatan Harga untuk Input Web</t>
        </is>
      </c>
      <c r="B26" s="18" t="n">
        <v>13000</v>
      </c>
      <c r="C26" s="15" t="inlineStr">
        <is>
          <t>Harga Resmi di Katalog</t>
        </is>
      </c>
    </row>
  </sheetData>
  <mergeCells count="2">
    <mergeCell ref="A2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2026-07-19T15:57:53Z</dcterms:created>
  <dcterms:modified xmlns:dcterms="http://purl.org/dc/terms/" xmlns:xsi="http://www.w3.org/2001/XMLSchema-instance" xsi:type="dcterms:W3CDTF">2026-07-19T15:57:53Z</dcterms:modified>
</cp:coreProperties>
</file>